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lương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<sst xmlns="http://schemas.openxmlformats.org/spreadsheetml/2006/main" count="104" uniqueCount="90">
  <si>
    <t>BẢNG LƯƠNG THÁNG ___/2026 — CÔNG TY TNHH TM&amp;DV EZWAY</t>
  </si>
  <si>
    <t>Nhân sự</t>
  </si>
  <si>
    <t>Lương + Phụ cấp</t>
  </si>
  <si>
    <t>Bảo hiểm NLĐ trừ (10.5%)</t>
  </si>
  <si>
    <t>Thuế TNCN</t>
  </si>
  <si>
    <t>Net</t>
  </si>
  <si>
    <t>Chi phí DN gánh thêm (21.5% BH)</t>
  </si>
  <si>
    <t>STT</t>
  </si>
  <si>
    <t>Họ và tên</t>
  </si>
  <si>
    <t>MST cá nhân</t>
  </si>
  <si>
    <t>Người phụ thuộc</t>
  </si>
  <si>
    <t>Lương cơ bản</t>
  </si>
  <si>
    <t>Lương BHXH</t>
  </si>
  <si>
    <t>Phụ cấp tính thuế</t>
  </si>
  <si>
    <t>Phụ cấp KHÔNG tính thuế</t>
  </si>
  <si>
    <t>Gross</t>
  </si>
  <si>
    <t>BHXH (8%)</t>
  </si>
  <si>
    <t>BHYT (1.5%)</t>
  </si>
  <si>
    <t>BHTN (1%)</t>
  </si>
  <si>
    <t>Tổng BH NLĐ</t>
  </si>
  <si>
    <t>Thu nhập tính thuế</t>
  </si>
  <si>
    <t>% TNCN</t>
  </si>
  <si>
    <t>Lương Net (chuyển)</t>
  </si>
  <si>
    <t>BHXH DN (17.5%)</t>
  </si>
  <si>
    <t>BHYT DN (3%)</t>
  </si>
  <si>
    <t>BHTN DN (1%)</t>
  </si>
  <si>
    <t>Tổng chi phí DN</t>
  </si>
  <si>
    <t>Nguyễn Văn A</t>
  </si>
  <si>
    <t>8123456789</t>
  </si>
  <si>
    <t>Trần Thị B</t>
  </si>
  <si>
    <t>8234567890</t>
  </si>
  <si>
    <t>Phạm Văn C</t>
  </si>
  <si>
    <t>8345678901</t>
  </si>
  <si>
    <t>Lê Thị D</t>
  </si>
  <si>
    <t>8456789012</t>
  </si>
  <si>
    <t/>
  </si>
  <si>
    <t>TỔNG</t>
  </si>
  <si>
    <t>MỤC</t>
  </si>
  <si>
    <t>GIẢI THÍCH</t>
  </si>
  <si>
    <t>Lương cơ bản (E)</t>
  </si>
  <si>
    <t>Lương ghi trên HĐLĐ, KHÔNG kể phụ cấp. Phải ≥ lương tối thiểu vùng (vùng I: 4.96tr 2026).</t>
  </si>
  <si>
    <t>Lương BHXH (F)</t>
  </si>
  <si>
    <t>Lương căn cứ đóng BHXH/BHYT/BHTN. Thường = lương cơ bản. Trần: 20× lương cơ sở (~46.8tr); BHTN trần 20× lương tối thiểu vùng (~99.2tr). Nếu vượt trần, admin cap input ở đây.</t>
  </si>
  <si>
    <t>Phụ cấp tính thuế (G)</t>
  </si>
  <si>
    <t>Phụ cấp chức vụ, thưởng, lương tháng 13... — TÍNH vào TNCN.</t>
  </si>
  <si>
    <t>Phụ cấp KHÔNG tính thuế (H)</t>
  </si>
  <si>
    <t>Ăn ca ≤ 730k/tháng, công tác phí thực chi, điện thoại theo định mức công ty, đồng phục ≤ 5tr/năm. Có VAT chứng từ hợp lệ. Hiện default 730k (ăn ca).</t>
  </si>
  <si>
    <t>TÍNH TỰ ĐỘNG</t>
  </si>
  <si>
    <t>Gross (I)</t>
  </si>
  <si>
    <t>= E + G + H</t>
  </si>
  <si>
    <t>BHXH NLĐ (J)</t>
  </si>
  <si>
    <t>= 8% × F (làm tròn)</t>
  </si>
  <si>
    <t>BHYT NLĐ (K)</t>
  </si>
  <si>
    <t>= 1.5% × F</t>
  </si>
  <si>
    <t>BHTN NLĐ (L)</t>
  </si>
  <si>
    <t>= 1% × F</t>
  </si>
  <si>
    <t>Tổng BH NLĐ (M)</t>
  </si>
  <si>
    <t>= J + K + L (= 10.5% × F)</t>
  </si>
  <si>
    <t>Thu nhập tính thuế (N)</t>
  </si>
  <si>
    <t>= MAX(0, Gross − Tổng BH NLĐ − Phụ cấp không tính thuế − 11tr (bản thân) − 4.4tr × Số người phụ thuộc)</t>
  </si>
  <si>
    <t>Thuế TNCN (O)</t>
  </si>
  <si>
    <t xml:space="preserve">Lũy tiến từng phần 7 bậc (5/10/15/20/25/30/35%). Dùng công thức rút gọn TT 111/2013:
  ≤5tr: 5%×N
  5-10tr: 10%×N - 250k
  10-18tr: 15%×N - 750k
  18-32tr: 20%×N - 1.65tr
  32-52tr: 25%×N - 3.25tr
  52-80tr: 30%×N - 5.85tr
  &gt;80tr: 35%×N - 9.85tr</t>
  </si>
  <si>
    <t>Net (Q)</t>
  </si>
  <si>
    <t>= Gross − Tổng BH NLĐ − TNCN (đây là số chuyển khoản cho NS)</t>
  </si>
  <si>
    <t>BHXH DN (R)</t>
  </si>
  <si>
    <t>= 17.5% × F (gồm hưu trí 14% + ốm đau 3% + TNLĐ 0.5%)</t>
  </si>
  <si>
    <t>BHYT DN (S)</t>
  </si>
  <si>
    <t>= 3% × F</t>
  </si>
  <si>
    <t>BHTN DN (T)</t>
  </si>
  <si>
    <t>Tổng chi phí DN (U)</t>
  </si>
  <si>
    <t>= Gross + R + S + T (= Gross + 21.5% × F)</t>
  </si>
  <si>
    <t>WORKFLOW MỖI THÁNG</t>
  </si>
  <si>
    <t>1.</t>
  </si>
  <si>
    <t>Copy sheet 'Bảng lương' sang sheet mới đặt tên 'T05-2026', 'T06-2026'...</t>
  </si>
  <si>
    <t>2.</t>
  </si>
  <si>
    <t>Sửa tiêu đề tháng ở A1</t>
  </si>
  <si>
    <t>3.</t>
  </si>
  <si>
    <t>Cập nhật cột E, F, G, H nếu có biến động (NS mới, đổi lương, phụ thuộc)</t>
  </si>
  <si>
    <t>4.</t>
  </si>
  <si>
    <t>Kiểm tra cột N (thu nhập tính thuế) và O (TNCN) khớp logic</t>
  </si>
  <si>
    <t>5.</t>
  </si>
  <si>
    <t>Tổng chi phí DN (U) cuối tháng → cộng dồn vào sổ chi phí Accounting (TK 642 Chi phí quản lý)</t>
  </si>
  <si>
    <t>6.</t>
  </si>
  <si>
    <t>Cuối quý: gửi kế toán dịch vụ tổng hợp BH NLĐ (M) + BH DN (R+S+T) để khai báo BHXH + tổng TNCN (O) để khai 05/KK-TNCN</t>
  </si>
  <si>
    <t>RỦI RO / LƯU Ý</t>
  </si>
  <si>
    <t>•</t>
  </si>
  <si>
    <t>Trần BHXH/BHTN: nếu lương BHXH &gt;46.8tr (BHXH) hoặc &gt;99.2tr (BHTN), CAP cột F trước khi formula chạy. Hoặc tách thành cột bhxhBase và bhtnBase nếu khác nhau.</t>
  </si>
  <si>
    <t>Quyết toán năm TNCN: cuối năm, ai có nhiều nguồn thu nhập (ngoài lương EZWAY) tự khai. Kế toán dịch vụ lo.</t>
  </si>
  <si>
    <t>NS vào/ra giữa tháng: tính prorate theo ngày làm việc. Sửa cột E, G manual.</t>
  </si>
  <si>
    <t>Nếu đổi % BHXH/lương cơ sở/giảm trừ TNCN: sửa công thức trong sheet này 1 lần, copy sang tháng mới.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</si>
</sst>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D7377"/>
      </patternFill>
    </fill>
    <fill>
      <patternFill patternType="solid">
        <fgColor rgb="FFE0F2F1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10" fontId="0" fillId="0" borderId="2" xfId="0" applyNumberFormat="1" applyBorder="1"/>
    <xf numFmtId="0" fontId="3" fillId="0" borderId="2" xfId="0" applyFont="1" applyBorder="1" applyAlignment="1">
      <alignment horizontal="right"/>
    </xf>
    <xf numFmtId="3" fontId="3" fillId="4" borderId="2" xfId="0" applyNumberFormat="1" applyFont="1" applyFill="1" applyBorder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14" customWidth="1"/>
    <col min="5" max="9" width="14" customWidth="1"/>
    <col min="10" max="12" width="12" customWidth="1"/>
    <col min="13" max="13" width="13" customWidth="1"/>
    <col min="14" max="14" width="14" customWidth="1"/>
    <col min="15" max="15" width="12" customWidth="1"/>
    <col min="17" max="18" width="14" customWidth="1"/>
    <col min="19" max="20" width="12" customWidth="1"/>
    <col min="21" max="21" width="15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 t="s">
        <v>3</v>
      </c>
      <c r="J2" s="2"/>
      <c r="K2" s="2"/>
      <c r="L2" s="2"/>
      <c r="M2" s="2"/>
      <c r="N2" s="2" t="s">
        <v>4</v>
      </c>
      <c r="O2" s="2"/>
      <c r="P2" s="2"/>
      <c r="Q2" s="2" t="s">
        <v>5</v>
      </c>
      <c r="R2" s="2" t="s">
        <v>6</v>
      </c>
      <c r="S2" s="2"/>
      <c r="T2" s="2"/>
      <c r="U2" s="2"/>
    </row>
    <row r="3" ht="30" customHeight="1" spans="1:21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4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</row>
    <row r="4" spans="1:21" x14ac:dyDescent="0.25">
      <c r="A4" s="4">
        <v>1</v>
      </c>
      <c r="B4" s="4" t="s">
        <v>27</v>
      </c>
      <c r="C4" s="4" t="s">
        <v>28</v>
      </c>
      <c r="D4" s="4">
        <v>1</v>
      </c>
      <c r="E4" s="5">
        <v>25000000</v>
      </c>
      <c r="F4" s="5">
        <v>25000000</v>
      </c>
      <c r="G4" s="5">
        <v>2000000</v>
      </c>
      <c r="H4" s="5">
        <v>730000</v>
      </c>
      <c r="I4" s="5">
        <f>E4+G4+H4</f>
      </c>
      <c r="J4" s="5">
        <f>ROUND(F4*0.08,0)</f>
      </c>
      <c r="K4" s="5">
        <f>ROUND(F4*0.015,0)</f>
      </c>
      <c r="L4" s="5">
        <f>ROUND(F4*0.01,0)</f>
      </c>
      <c r="M4" s="5">
        <f>J4+K4+L4</f>
      </c>
      <c r="N4" s="5">
        <f>MAX(0,I4-M4-H4-11000000-D4*4400000)</f>
      </c>
      <c r="O4" s="5">
        <f>ROUND(IF(N4&lt;=0,0,IF(N4&lt;=5000000,N4*0.05,IF(N4&lt;=10000000,N4*0.1-250000,IF(N4&lt;=18000000,N4*0.15-750000,IF(N4&lt;=32000000,N4*0.2-1650000,IF(N4&lt;=52000000,N4*0.25-3250000,IF(N4&lt;=80000000,N4*0.3-5850000,N4*0.35-9850000))))))),0)</f>
      </c>
      <c r="P4" s="6">
        <f>IF(I4&gt;0,O4/I4,0)</f>
      </c>
      <c r="Q4" s="5">
        <f>I4-M4-O4</f>
      </c>
      <c r="R4" s="5">
        <f>ROUND(F4*0.175,0)</f>
      </c>
      <c r="S4" s="5">
        <f>ROUND(F4*0.03,0)</f>
      </c>
      <c r="T4" s="5">
        <f>ROUND(F4*0.01,0)</f>
      </c>
      <c r="U4" s="5">
        <f>I4+R4+S4+T4</f>
      </c>
    </row>
    <row r="5" spans="1:21" x14ac:dyDescent="0.25">
      <c r="A5" s="4">
        <v>2</v>
      </c>
      <c r="B5" s="4" t="s">
        <v>29</v>
      </c>
      <c r="C5" s="4" t="s">
        <v>30</v>
      </c>
      <c r="D5" s="4">
        <v>0</v>
      </c>
      <c r="E5" s="5">
        <v>15000000</v>
      </c>
      <c r="F5" s="5">
        <v>15000000</v>
      </c>
      <c r="G5" s="5">
        <v>0</v>
      </c>
      <c r="H5" s="5">
        <v>730000</v>
      </c>
      <c r="I5" s="5">
        <f>E5+G5+H5</f>
      </c>
      <c r="J5" s="5">
        <f>ROUND(F5*0.08,0)</f>
      </c>
      <c r="K5" s="5">
        <f>ROUND(F5*0.015,0)</f>
      </c>
      <c r="L5" s="5">
        <f>ROUND(F5*0.01,0)</f>
      </c>
      <c r="M5" s="5">
        <f>J5+K5+L5</f>
      </c>
      <c r="N5" s="5">
        <f>MAX(0,I5-M5-H5-11000000-D5*4400000)</f>
      </c>
      <c r="O5" s="5">
        <f>ROUND(IF(N5&lt;=0,0,IF(N5&lt;=5000000,N5*0.05,IF(N5&lt;=10000000,N5*0.1-250000,IF(N5&lt;=18000000,N5*0.15-750000,IF(N5&lt;=32000000,N5*0.2-1650000,IF(N5&lt;=52000000,N5*0.25-3250000,IF(N5&lt;=80000000,N5*0.3-5850000,N5*0.35-9850000))))))),0)</f>
      </c>
      <c r="P5" s="6">
        <f>IF(I5&gt;0,O5/I5,0)</f>
      </c>
      <c r="Q5" s="5">
        <f>I5-M5-O5</f>
      </c>
      <c r="R5" s="5">
        <f>ROUND(F5*0.175,0)</f>
      </c>
      <c r="S5" s="5">
        <f>ROUND(F5*0.03,0)</f>
      </c>
      <c r="T5" s="5">
        <f>ROUND(F5*0.01,0)</f>
      </c>
      <c r="U5" s="5">
        <f>I5+R5+S5+T5</f>
      </c>
    </row>
    <row r="6" spans="1:21" x14ac:dyDescent="0.25">
      <c r="A6" s="4">
        <v>3</v>
      </c>
      <c r="B6" s="4" t="s">
        <v>31</v>
      </c>
      <c r="C6" s="4" t="s">
        <v>32</v>
      </c>
      <c r="D6" s="4">
        <v>2</v>
      </c>
      <c r="E6" s="5">
        <v>18000000</v>
      </c>
      <c r="F6" s="5">
        <v>18000000</v>
      </c>
      <c r="G6" s="5">
        <v>0</v>
      </c>
      <c r="H6" s="5">
        <v>730000</v>
      </c>
      <c r="I6" s="5">
        <f>E6+G6+H6</f>
      </c>
      <c r="J6" s="5">
        <f>ROUND(F6*0.08,0)</f>
      </c>
      <c r="K6" s="5">
        <f>ROUND(F6*0.015,0)</f>
      </c>
      <c r="L6" s="5">
        <f>ROUND(F6*0.01,0)</f>
      </c>
      <c r="M6" s="5">
        <f>J6+K6+L6</f>
      </c>
      <c r="N6" s="5">
        <f>MAX(0,I6-M6-H6-11000000-D6*4400000)</f>
      </c>
      <c r="O6" s="5">
        <f>ROUND(IF(N6&lt;=0,0,IF(N6&lt;=5000000,N6*0.05,IF(N6&lt;=10000000,N6*0.1-250000,IF(N6&lt;=18000000,N6*0.15-750000,IF(N6&lt;=32000000,N6*0.2-1650000,IF(N6&lt;=52000000,N6*0.25-3250000,IF(N6&lt;=80000000,N6*0.3-5850000,N6*0.35-9850000))))))),0)</f>
      </c>
      <c r="P6" s="6">
        <f>IF(I6&gt;0,O6/I6,0)</f>
      </c>
      <c r="Q6" s="5">
        <f>I6-M6-O6</f>
      </c>
      <c r="R6" s="5">
        <f>ROUND(F6*0.175,0)</f>
      </c>
      <c r="S6" s="5">
        <f>ROUND(F6*0.03,0)</f>
      </c>
      <c r="T6" s="5">
        <f>ROUND(F6*0.01,0)</f>
      </c>
      <c r="U6" s="5">
        <f>I6+R6+S6+T6</f>
      </c>
    </row>
    <row r="7" spans="1:21" x14ac:dyDescent="0.25">
      <c r="A7" s="4">
        <v>4</v>
      </c>
      <c r="B7" s="4" t="s">
        <v>33</v>
      </c>
      <c r="C7" s="4" t="s">
        <v>34</v>
      </c>
      <c r="D7" s="4">
        <v>0</v>
      </c>
      <c r="E7" s="5">
        <v>12000000</v>
      </c>
      <c r="F7" s="5">
        <v>12000000</v>
      </c>
      <c r="G7" s="5">
        <v>500000</v>
      </c>
      <c r="H7" s="5">
        <v>730000</v>
      </c>
      <c r="I7" s="5">
        <f>E7+G7+H7</f>
      </c>
      <c r="J7" s="5">
        <f>ROUND(F7*0.08,0)</f>
      </c>
      <c r="K7" s="5">
        <f>ROUND(F7*0.015,0)</f>
      </c>
      <c r="L7" s="5">
        <f>ROUND(F7*0.01,0)</f>
      </c>
      <c r="M7" s="5">
        <f>J7+K7+L7</f>
      </c>
      <c r="N7" s="5">
        <f>MAX(0,I7-M7-H7-11000000-D7*4400000)</f>
      </c>
      <c r="O7" s="5">
        <f>ROUND(IF(N7&lt;=0,0,IF(N7&lt;=5000000,N7*0.05,IF(N7&lt;=10000000,N7*0.1-250000,IF(N7&lt;=18000000,N7*0.15-750000,IF(N7&lt;=32000000,N7*0.2-1650000,IF(N7&lt;=52000000,N7*0.25-3250000,IF(N7&lt;=80000000,N7*0.3-5850000,N7*0.35-9850000))))))),0)</f>
      </c>
      <c r="P7" s="6">
        <f>IF(I7&gt;0,O7/I7,0)</f>
      </c>
      <c r="Q7" s="5">
        <f>I7-M7-O7</f>
      </c>
      <c r="R7" s="5">
        <f>ROUND(F7*0.175,0)</f>
      </c>
      <c r="S7" s="5">
        <f>ROUND(F7*0.03,0)</f>
      </c>
      <c r="T7" s="5">
        <f>ROUND(F7*0.01,0)</f>
      </c>
      <c r="U7" s="5">
        <f>I7+R7+S7+T7</f>
      </c>
    </row>
    <row r="8" spans="1:21" x14ac:dyDescent="0.25">
      <c r="A8" s="4" t="s">
        <v>35</v>
      </c>
      <c r="B8" s="7" t="s">
        <v>36</v>
      </c>
      <c r="C8" s="4"/>
      <c r="D8" s="4"/>
      <c r="E8" s="8">
        <f>SUM(E4:E7)</f>
      </c>
      <c r="F8" s="8">
        <f>SUM(F4:F7)</f>
      </c>
      <c r="G8" s="8">
        <f>SUM(G4:G7)</f>
      </c>
      <c r="H8" s="8">
        <f>SUM(H4:H7)</f>
      </c>
      <c r="I8" s="8">
        <f>SUM(I4:I7)</f>
      </c>
      <c r="J8" s="8">
        <f>SUM(J4:J7)</f>
      </c>
      <c r="K8" s="8">
        <f>SUM(K4:K7)</f>
      </c>
      <c r="L8" s="8">
        <f>SUM(L4:L7)</f>
      </c>
      <c r="M8" s="8">
        <f>SUM(M4:M7)</f>
      </c>
      <c r="N8" s="8">
        <f>SUM(N4:N7)</f>
      </c>
      <c r="O8" s="8">
        <f>SUM(O4:O7)</f>
      </c>
      <c r="P8" s="4"/>
      <c r="Q8" s="8">
        <f>SUM(Q4:Q7)</f>
      </c>
      <c r="R8" s="8">
        <f>SUM(R4:R7)</f>
      </c>
      <c r="S8" s="8">
        <f>SUM(S4:S7)</f>
      </c>
      <c r="T8" s="8">
        <f>SUM(T4:T7)</f>
      </c>
      <c r="U8" s="8">
        <f>SUM(U4:U7)</f>
      </c>
    </row>
  </sheetData>
  <mergeCells count="6">
    <mergeCell ref="A1:T1"/>
    <mergeCell ref="A2:D2"/>
    <mergeCell ref="E2:H2"/>
    <mergeCell ref="I2:M2"/>
    <mergeCell ref="N2:P2"/>
    <mergeCell ref="R2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s="9" t="s">
        <v>37</v>
      </c>
      <c r="B1" s="10" t="s">
        <v>38</v>
      </c>
    </row>
    <row r="2" spans="1:2" x14ac:dyDescent="0.25">
      <c r="A2" s="11" t="s">
        <v>39</v>
      </c>
      <c r="B2" s="12" t="s">
        <v>40</v>
      </c>
    </row>
    <row r="3" spans="1:2" x14ac:dyDescent="0.25">
      <c r="A3" s="11" t="s">
        <v>41</v>
      </c>
      <c r="B3" s="12" t="s">
        <v>42</v>
      </c>
    </row>
    <row r="4" spans="1:2" x14ac:dyDescent="0.25">
      <c r="A4" s="11" t="s">
        <v>43</v>
      </c>
      <c r="B4" s="12" t="s">
        <v>44</v>
      </c>
    </row>
    <row r="5" spans="1:2" x14ac:dyDescent="0.25">
      <c r="A5" s="11" t="s">
        <v>45</v>
      </c>
      <c r="B5" s="12" t="s">
        <v>46</v>
      </c>
    </row>
    <row r="6" spans="1:2" x14ac:dyDescent="0.25">
      <c r="A6" s="11" t="s">
        <v>35</v>
      </c>
      <c r="B6" s="12" t="s">
        <v>35</v>
      </c>
    </row>
    <row r="7" spans="1:2" x14ac:dyDescent="0.25">
      <c r="A7" s="9" t="s">
        <v>47</v>
      </c>
      <c r="B7" s="10" t="s">
        <v>35</v>
      </c>
    </row>
    <row r="8" spans="1:2" x14ac:dyDescent="0.25">
      <c r="A8" s="11" t="s">
        <v>48</v>
      </c>
      <c r="B8" s="12" t="s">
        <v>49</v>
      </c>
    </row>
    <row r="9" spans="1:2" x14ac:dyDescent="0.25">
      <c r="A9" s="11" t="s">
        <v>50</v>
      </c>
      <c r="B9" s="12" t="s">
        <v>51</v>
      </c>
    </row>
    <row r="10" spans="1:2" x14ac:dyDescent="0.25">
      <c r="A10" s="11" t="s">
        <v>52</v>
      </c>
      <c r="B10" s="12" t="s">
        <v>53</v>
      </c>
    </row>
    <row r="11" spans="1:2" x14ac:dyDescent="0.25">
      <c r="A11" s="11" t="s">
        <v>54</v>
      </c>
      <c r="B11" s="12" t="s">
        <v>55</v>
      </c>
    </row>
    <row r="12" spans="1:2" x14ac:dyDescent="0.25">
      <c r="A12" s="11" t="s">
        <v>56</v>
      </c>
      <c r="B12" s="12" t="s">
        <v>57</v>
      </c>
    </row>
    <row r="13" spans="1:2" x14ac:dyDescent="0.25">
      <c r="A13" s="11" t="s">
        <v>58</v>
      </c>
      <c r="B13" s="12" t="s">
        <v>59</v>
      </c>
    </row>
    <row r="14" spans="1:2" x14ac:dyDescent="0.25">
      <c r="A14" s="11" t="s">
        <v>60</v>
      </c>
      <c r="B14" s="12" t="s">
        <v>61</v>
      </c>
    </row>
    <row r="15" spans="1:2" x14ac:dyDescent="0.25">
      <c r="A15" s="11" t="s">
        <v>62</v>
      </c>
      <c r="B15" s="12" t="s">
        <v>63</v>
      </c>
    </row>
    <row r="16" spans="1:2" x14ac:dyDescent="0.25">
      <c r="A16" s="11" t="s">
        <v>64</v>
      </c>
      <c r="B16" s="12" t="s">
        <v>65</v>
      </c>
    </row>
    <row r="17" spans="1:2" x14ac:dyDescent="0.25">
      <c r="A17" s="11" t="s">
        <v>66</v>
      </c>
      <c r="B17" s="12" t="s">
        <v>67</v>
      </c>
    </row>
    <row r="18" spans="1:2" x14ac:dyDescent="0.25">
      <c r="A18" s="11" t="s">
        <v>68</v>
      </c>
      <c r="B18" s="12" t="s">
        <v>55</v>
      </c>
    </row>
    <row r="19" spans="1:2" x14ac:dyDescent="0.25">
      <c r="A19" s="11" t="s">
        <v>69</v>
      </c>
      <c r="B19" s="12" t="s">
        <v>70</v>
      </c>
    </row>
    <row r="20" spans="1:2" x14ac:dyDescent="0.25">
      <c r="A20" s="11" t="s">
        <v>35</v>
      </c>
      <c r="B20" s="12" t="s">
        <v>35</v>
      </c>
    </row>
    <row r="21" spans="1:2" x14ac:dyDescent="0.25">
      <c r="A21" s="9" t="s">
        <v>71</v>
      </c>
      <c r="B21" s="10" t="s">
        <v>35</v>
      </c>
    </row>
    <row r="22" spans="1:2" x14ac:dyDescent="0.25">
      <c r="A22" s="11" t="s">
        <v>72</v>
      </c>
      <c r="B22" s="12" t="s">
        <v>73</v>
      </c>
    </row>
    <row r="23" spans="1:2" x14ac:dyDescent="0.25">
      <c r="A23" s="11" t="s">
        <v>74</v>
      </c>
      <c r="B23" s="12" t="s">
        <v>75</v>
      </c>
    </row>
    <row r="24" spans="1:2" x14ac:dyDescent="0.25">
      <c r="A24" s="11" t="s">
        <v>76</v>
      </c>
      <c r="B24" s="12" t="s">
        <v>77</v>
      </c>
    </row>
    <row r="25" spans="1:2" x14ac:dyDescent="0.25">
      <c r="A25" s="11" t="s">
        <v>78</v>
      </c>
      <c r="B25" s="12" t="s">
        <v>79</v>
      </c>
    </row>
    <row r="26" spans="1:2" x14ac:dyDescent="0.25">
      <c r="A26" s="11" t="s">
        <v>80</v>
      </c>
      <c r="B26" s="12" t="s">
        <v>81</v>
      </c>
    </row>
    <row r="27" spans="1:2" x14ac:dyDescent="0.25">
      <c r="A27" s="11" t="s">
        <v>82</v>
      </c>
      <c r="B27" s="12" t="s">
        <v>83</v>
      </c>
    </row>
    <row r="28" spans="1:2" x14ac:dyDescent="0.25">
      <c r="A28" s="11" t="s">
        <v>35</v>
      </c>
      <c r="B28" s="12" t="s">
        <v>35</v>
      </c>
    </row>
    <row r="29" spans="1:2" x14ac:dyDescent="0.25">
      <c r="A29" s="9" t="s">
        <v>84</v>
      </c>
      <c r="B29" s="10" t="s">
        <v>35</v>
      </c>
    </row>
    <row r="30" spans="1:2" x14ac:dyDescent="0.25">
      <c r="A30" s="11" t="s">
        <v>85</v>
      </c>
      <c r="B30" s="12" t="s">
        <v>86</v>
      </c>
    </row>
    <row r="31" spans="1:2" x14ac:dyDescent="0.25">
      <c r="A31" s="11" t="s">
        <v>85</v>
      </c>
      <c r="B31" s="12" t="s">
        <v>87</v>
      </c>
    </row>
    <row r="32" spans="1:2" x14ac:dyDescent="0.25">
      <c r="A32" s="11" t="s">
        <v>85</v>
      </c>
      <c r="B32" s="12" t="s">
        <v>88</v>
      </c>
    </row>
    <row r="33" spans="1:2" x14ac:dyDescent="0.25">
      <c r="A33" s="11" t="s">
        <v>85</v>
      </c>
      <c r="B33" s="1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lương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EZWAY Ops</dc:creator>
  <dc:title/>
  <dc:subject/>
  <dc:description/>
  <cp:keywords/>
  <cp:category/>
  <cp:lastModifiedBy>Unknown</cp:lastModifiedBy>
  <dcterms:created xsi:type="dcterms:W3CDTF">2026-05-26T14:23:13Z</dcterms:created>
  <dcterms:modified xsi:type="dcterms:W3CDTF">2026-05-26T14:23:13Z</dcterms:modified>
</cp:coreProperties>
</file>